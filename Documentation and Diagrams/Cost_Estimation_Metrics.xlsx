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mohame219_uni_coventry_ac_uk/Documents/SOFTWARE ENGINEERING PROJECT/"/>
    </mc:Choice>
  </mc:AlternateContent>
  <xr:revisionPtr revIDLastSave="1" documentId="8_{1879139A-066F-8E41-B388-64670522C860}" xr6:coauthVersionLast="47" xr6:coauthVersionMax="47" xr10:uidLastSave="{6AC6010F-CE58-BA40-B64F-018D41956665}"/>
  <bookViews>
    <workbookView xWindow="0" yWindow="660" windowWidth="30240" windowHeight="18980" xr2:uid="{56A60C74-3EA1-E045-B2DA-0517CDF3D2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1" l="1"/>
  <c r="D101" i="1"/>
  <c r="D74" i="1"/>
  <c r="D124" i="1"/>
  <c r="E150" i="1"/>
  <c r="D152" i="1" s="1"/>
  <c r="D98" i="1"/>
  <c r="D100" i="1" s="1"/>
  <c r="D79" i="1"/>
  <c r="D61" i="1"/>
  <c r="D62" i="1" s="1"/>
  <c r="D58" i="1"/>
  <c r="D57" i="1"/>
  <c r="D33" i="1"/>
  <c r="D35" i="1" s="1"/>
  <c r="J11" i="1"/>
  <c r="D102" i="1" l="1"/>
  <c r="D37" i="1"/>
  <c r="D59" i="1" s="1"/>
  <c r="D76" i="1" l="1"/>
  <c r="D78" i="1" s="1"/>
  <c r="D80" i="1" s="1"/>
</calcChain>
</file>

<file path=xl/sharedStrings.xml><?xml version="1.0" encoding="utf-8"?>
<sst xmlns="http://schemas.openxmlformats.org/spreadsheetml/2006/main" count="149" uniqueCount="127">
  <si>
    <t>Function Point Calculation</t>
  </si>
  <si>
    <t>Unadjusted Function Point</t>
  </si>
  <si>
    <t>Measurement parameters</t>
  </si>
  <si>
    <t>Count</t>
  </si>
  <si>
    <t>Low</t>
  </si>
  <si>
    <t>Average</t>
  </si>
  <si>
    <t>High</t>
  </si>
  <si>
    <t>Estimate</t>
  </si>
  <si>
    <t>External Inputs</t>
  </si>
  <si>
    <t>x</t>
  </si>
  <si>
    <t>=</t>
  </si>
  <si>
    <t>External Outputs</t>
  </si>
  <si>
    <t>External Inquiries</t>
  </si>
  <si>
    <t>Internal Logic Files</t>
  </si>
  <si>
    <t>External Logic Files</t>
  </si>
  <si>
    <t xml:space="preserve">UNADJUSTED FUNCTION POINT </t>
  </si>
  <si>
    <t>CAF = 0.65 + (0.01 * summation(Fi))</t>
  </si>
  <si>
    <t>System Character</t>
  </si>
  <si>
    <t>Score</t>
  </si>
  <si>
    <t>Score table</t>
  </si>
  <si>
    <t>Data Communication</t>
  </si>
  <si>
    <t>0 – No Influence</t>
  </si>
  <si>
    <t>Distributed Data Processing</t>
  </si>
  <si>
    <t>1 – Accidental</t>
  </si>
  <si>
    <t>Performance</t>
  </si>
  <si>
    <t>2 – Moderate</t>
  </si>
  <si>
    <t>Heavily Used Configuration</t>
  </si>
  <si>
    <t>3 – Average</t>
  </si>
  <si>
    <t>Transaction Role</t>
  </si>
  <si>
    <t>4 – Significant</t>
  </si>
  <si>
    <t>Online Data Entry</t>
  </si>
  <si>
    <t>5 – Essential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</si>
  <si>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</si>
  <si>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</si>
  <si>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</si>
  <si>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</si>
  <si>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</si>
  <si>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</si>
  <si>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</si>
  <si>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Changes</t>
  </si>
  <si>
    <t xml:space="preserve">CAF = </t>
  </si>
  <si>
    <t>FP =</t>
  </si>
  <si>
    <t>Cost Estimation</t>
  </si>
  <si>
    <t>Lines Of Code (LOC) calculation</t>
  </si>
  <si>
    <t xml:space="preserve">current Logical LOC = </t>
  </si>
  <si>
    <t xml:space="preserve">current physical LOC = </t>
  </si>
  <si>
    <t>KLOC/person-month</t>
  </si>
  <si>
    <t>Customisation Index ( C )</t>
  </si>
  <si>
    <t>C = Ndp / ( Ndp + Nsp )</t>
  </si>
  <si>
    <t>Defect Removal Efficiency (DRE)</t>
  </si>
  <si>
    <t>DRE = E / (E + D)</t>
  </si>
  <si>
    <t>Use Case Point (UCP)</t>
  </si>
  <si>
    <t>UCP = (UUCW + UAW) * TCF * ECF</t>
  </si>
  <si>
    <t>UAW cacluation</t>
  </si>
  <si>
    <t>Actor</t>
  </si>
  <si>
    <t>Actor complexity</t>
  </si>
  <si>
    <t xml:space="preserve">Weight </t>
  </si>
  <si>
    <t>Student</t>
  </si>
  <si>
    <t>Complex</t>
  </si>
  <si>
    <t>Teacher</t>
  </si>
  <si>
    <t>System Admin</t>
  </si>
  <si>
    <t>School Admin</t>
  </si>
  <si>
    <t>Personal Account holder</t>
  </si>
  <si>
    <t>Unregistered user</t>
  </si>
  <si>
    <t>Organisation member</t>
  </si>
  <si>
    <t>Management member</t>
  </si>
  <si>
    <t xml:space="preserve">summation(Fi) = </t>
  </si>
  <si>
    <t xml:space="preserve">sprint-1 estimated LOC = </t>
  </si>
  <si>
    <t xml:space="preserve">sprint-2 estimated LOC = </t>
  </si>
  <si>
    <t>In sprint-2, the codebase integrated the use of Javacript as well. Therfore, the below statistics are in accordance with that</t>
  </si>
  <si>
    <t>Language Factors</t>
  </si>
  <si>
    <t xml:space="preserve">HTML = 34 </t>
  </si>
  <si>
    <t>CSS = 50</t>
  </si>
  <si>
    <t>Python = 45</t>
  </si>
  <si>
    <t>Javascript = 47</t>
  </si>
  <si>
    <t>Python = 100%</t>
  </si>
  <si>
    <t>Weighted Language Factor</t>
  </si>
  <si>
    <t>Estimated LOC = FP x Total/Weighted Language Factor</t>
  </si>
  <si>
    <t xml:space="preserve">Actual LOC (Python+JS+HTML+CSS) = </t>
  </si>
  <si>
    <t>Estimated (Based on FP)</t>
  </si>
  <si>
    <t>Actual (Counted)</t>
  </si>
  <si>
    <t>Total LOC</t>
  </si>
  <si>
    <t>Final LOC metrics</t>
  </si>
  <si>
    <t>LOC - estimation vs truth</t>
  </si>
  <si>
    <t>KLOC/person-month = KLOC / (Number of members * duration in months)</t>
  </si>
  <si>
    <t>Formulae</t>
  </si>
  <si>
    <t>KLOC</t>
  </si>
  <si>
    <t>Number of person-months (5 persons, 2 months)</t>
  </si>
  <si>
    <t>Language Composition in Codebase (from GitHub stats)</t>
  </si>
  <si>
    <t>Total Project Cost</t>
  </si>
  <si>
    <t xml:space="preserve">Total Hours Worked </t>
  </si>
  <si>
    <t>Hours worked per week per person</t>
  </si>
  <si>
    <t>Number of Workers (Team Members)</t>
  </si>
  <si>
    <t>Development Duration (in weeks)</t>
  </si>
  <si>
    <t>Hypothetical Hourly Pay Rate (£/hour)</t>
  </si>
  <si>
    <t>End of Development Phase (after Sprint 2)</t>
  </si>
  <si>
    <t>In sprint-1 to mid sprint, the project codebase was heavily based on Python and some HTML/CSS, therefore the estimation below is in accordance with the same</t>
  </si>
  <si>
    <t>Hypothetical Cost per KLOC</t>
  </si>
  <si>
    <t>Hypothetical Cost per Sprint</t>
  </si>
  <si>
    <t xml:space="preserve"> -- &gt; no installation needed as webapp</t>
  </si>
  <si>
    <t>Sprint 1 to Mid - Sprint 2</t>
  </si>
  <si>
    <t>From the initial statistics during early Sprint 2, it is estimated that our team produced an average of 617 lines of code per person per month</t>
  </si>
  <si>
    <t>UAW</t>
  </si>
  <si>
    <r>
      <t xml:space="preserve">UAW </t>
    </r>
    <r>
      <rPr>
        <sz val="12"/>
        <color theme="1"/>
        <rFont val="Times New Roman"/>
        <family val="1"/>
      </rPr>
      <t>= (</t>
    </r>
    <r>
      <rPr>
        <sz val="12"/>
        <color theme="1"/>
        <rFont val="KaTeX_Math"/>
      </rPr>
      <t>Simple-count</t>
    </r>
    <r>
      <rPr>
        <sz val="12"/>
        <color theme="1"/>
        <rFont val="Times New Roman"/>
        <family val="1"/>
      </rPr>
      <t>​×1) + (</t>
    </r>
    <r>
      <rPr>
        <sz val="12"/>
        <color theme="1"/>
        <rFont val="KaTeX_Math"/>
      </rPr>
      <t>Average-count</t>
    </r>
    <r>
      <rPr>
        <sz val="12"/>
        <color theme="1"/>
        <rFont val="Times New Roman"/>
        <family val="1"/>
      </rPr>
      <t>​×2) + (</t>
    </r>
    <r>
      <rPr>
        <sz val="12"/>
        <color theme="1"/>
        <rFont val="KaTeX_Math"/>
      </rPr>
      <t>Complex-count</t>
    </r>
    <r>
      <rPr>
        <sz val="12"/>
        <color theme="1"/>
        <rFont val="Times New Roman"/>
        <family val="1"/>
      </rPr>
      <t>​×3)</t>
    </r>
  </si>
  <si>
    <t>Complexity Adjustment Factors (CAF)</t>
  </si>
  <si>
    <t>Formula</t>
  </si>
  <si>
    <t>UUCW = (#Simple×5) + (#Average×10) + (#Complex×15)</t>
  </si>
  <si>
    <t>TCF = 1.04</t>
  </si>
  <si>
    <t>ECF = 0.96</t>
  </si>
  <si>
    <t>UUCW = 94</t>
  </si>
  <si>
    <t>UCP</t>
  </si>
  <si>
    <t>E = 45</t>
  </si>
  <si>
    <t>D = 5</t>
  </si>
  <si>
    <t>DRE</t>
  </si>
  <si>
    <t>Nsp = 3</t>
  </si>
  <si>
    <t>C</t>
  </si>
  <si>
    <t>A UCP of 116 indicates a medium-scale project, providing evidence of mid-rabge scalability and room for growth through addition of more features</t>
  </si>
  <si>
    <t>The system achieved a Defect Removal Efficiency (DRE) of 90% demonstrating the effectiveness of testing conducted</t>
  </si>
  <si>
    <t>HTML = 48.9%</t>
  </si>
  <si>
    <t>CSS = 21.1%</t>
  </si>
  <si>
    <t>JavaScript = 10.1%</t>
  </si>
  <si>
    <t>Python = 19.9%</t>
  </si>
  <si>
    <t>From these final statistics after Sprint 2 (end of Development Phase), it is evident that our team produced an average of 560 lines of code per person per month</t>
  </si>
  <si>
    <t>The actual LOC was much higher than the estimated LOC because the development utilised several modern frameworks like Socket.IO (for real-time chat feature), Flask (modern web-dev) and several reusable &amp; modular components. However, due to the adoption of a diverse techstack and a multiple-page web-application instead of a single-page application, the actual LOC turned out to be higher.</t>
  </si>
  <si>
    <t>Since this system was developed for academic demonstration purposes, there is no real financial transactions involved. However, to demonstrate real-world costs, a hypothetical pay-rate of £30/hour was applied for 400 hours worked by the team (total duration), resulting in an estimated budget of £12,000 and £2,140 per KLOC.</t>
  </si>
  <si>
    <t>Ndp = 69</t>
  </si>
  <si>
    <t>Komodo Hub platform achieved a customisation Index of 95.8%, indicating a highly interactive, personalised and dynamic web-application rather than a static information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</si>
</sst>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_);[Red]\(&quot;£&quot;#,##0\)"/>
    <numFmt numFmtId="8" formatCode="&quot;£&quot;#,##0.00_);[Red]\(&quot;£&quot;#,##0.00\)"/>
  </numFmts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theme="1"/>
      <name val="KaTeX_Math"/>
    </font>
    <font>
      <b/>
      <sz val="14"/>
      <color theme="1"/>
      <name val="Aptos Narrow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i/>
      <sz val="16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i/>
      <sz val="15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0" borderId="24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6" xfId="0" applyBorder="1"/>
    <xf numFmtId="0" fontId="0" fillId="2" borderId="2" xfId="0" applyFill="1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1" fillId="2" borderId="24" xfId="0" applyFont="1" applyFill="1" applyBorder="1" applyAlignment="1">
      <alignment horizontal="right"/>
    </xf>
    <xf numFmtId="0" fontId="0" fillId="0" borderId="31" xfId="0" applyBorder="1"/>
    <xf numFmtId="0" fontId="0" fillId="0" borderId="0" xfId="0" applyBorder="1"/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applyBorder="1"/>
    <xf numFmtId="0" fontId="1" fillId="0" borderId="3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37" xfId="0" applyBorder="1"/>
    <xf numFmtId="0" fontId="0" fillId="0" borderId="36" xfId="0" applyBorder="1"/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0" xfId="0" applyFont="1" applyBorder="1" applyAlignment="1"/>
    <xf numFmtId="0" fontId="3" fillId="0" borderId="0" xfId="0" applyFont="1" applyBorder="1" applyAlignment="1"/>
    <xf numFmtId="0" fontId="3" fillId="0" borderId="39" xfId="0" applyFont="1" applyBorder="1" applyAlignment="1"/>
    <xf numFmtId="0" fontId="3" fillId="0" borderId="9" xfId="0" applyFont="1" applyBorder="1" applyAlignment="1"/>
    <xf numFmtId="0" fontId="1" fillId="0" borderId="1" xfId="0" applyFont="1" applyBorder="1" applyAlignment="1"/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20" xfId="0" applyFont="1" applyBorder="1"/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39" xfId="0" applyBorder="1"/>
    <xf numFmtId="0" fontId="3" fillId="0" borderId="0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/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6" fontId="0" fillId="0" borderId="27" xfId="0" applyNumberFormat="1" applyBorder="1" applyAlignment="1">
      <alignment horizontal="center" vertical="center"/>
    </xf>
    <xf numFmtId="8" fontId="0" fillId="0" borderId="27" xfId="0" applyNumberForma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4" fillId="2" borderId="30" xfId="0" applyFont="1" applyFill="1" applyBorder="1" applyAlignment="1">
      <alignment horizontal="center"/>
    </xf>
    <xf numFmtId="0" fontId="8" fillId="0" borderId="20" xfId="0" applyFont="1" applyBorder="1"/>
    <xf numFmtId="0" fontId="0" fillId="0" borderId="39" xfId="0" applyBorder="1" applyAlignment="1">
      <alignment horizontal="left" vertical="center"/>
    </xf>
    <xf numFmtId="0" fontId="3" fillId="0" borderId="39" xfId="0" applyFont="1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9" xfId="0" applyBorder="1" applyAlignment="1">
      <alignment horizontal="left"/>
    </xf>
    <xf numFmtId="0" fontId="15" fillId="0" borderId="4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38" xfId="0" applyBorder="1"/>
    <xf numFmtId="0" fontId="3" fillId="0" borderId="9" xfId="0" applyFont="1" applyBorder="1"/>
    <xf numFmtId="0" fontId="11" fillId="3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2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0" borderId="32" xfId="0" applyBorder="1"/>
    <xf numFmtId="0" fontId="14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1" xfId="0" applyFont="1" applyBorder="1"/>
    <xf numFmtId="0" fontId="14" fillId="0" borderId="3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1" xfId="0" applyBorder="1" applyAlignment="1">
      <alignment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4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24" xfId="0" applyFill="1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4" fillId="0" borderId="0" xfId="0" applyFont="1" applyFill="1" applyBorder="1" applyAlignment="1"/>
    <xf numFmtId="0" fontId="0" fillId="0" borderId="0" xfId="0" applyFill="1" applyBorder="1" applyAlignment="1"/>
    <xf numFmtId="0" fontId="6" fillId="0" borderId="0" xfId="0" applyFont="1" applyFill="1" applyBorder="1" applyAlignment="1"/>
    <xf numFmtId="0" fontId="15" fillId="0" borderId="20" xfId="0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C997-A899-DC4F-BF38-29E118F47EFF}">
  <dimension ref="A1:AH153"/>
  <sheetViews>
    <sheetView tabSelected="1" zoomScale="59" zoomScaleNormal="139" workbookViewId="0">
      <selection activeCell="N7" sqref="N7"/>
    </sheetView>
  </sheetViews>
  <sheetFormatPr baseColWidth="10" defaultColWidth="11" defaultRowHeight="16"/>
  <cols>
    <col min="3" max="3" width="58.1640625" bestFit="1" customWidth="1"/>
    <col min="4" max="4" width="27" bestFit="1" customWidth="1"/>
    <col min="5" max="5" width="58.5" customWidth="1"/>
    <col min="6" max="6" width="14.33203125" bestFit="1" customWidth="1"/>
    <col min="7" max="7" width="7.5" bestFit="1" customWidth="1"/>
    <col min="8" max="8" width="4.83203125" bestFit="1" customWidth="1"/>
    <col min="9" max="9" width="2.33203125" bestFit="1" customWidth="1"/>
    <col min="10" max="10" width="8.33203125" customWidth="1"/>
    <col min="23" max="23" width="30.6640625" bestFit="1" customWidth="1"/>
    <col min="24" max="24" width="9.83203125" customWidth="1"/>
    <col min="25" max="25" width="4.6640625" customWidth="1"/>
    <col min="26" max="26" width="13.83203125" bestFit="1" customWidth="1"/>
    <col min="27" max="27" width="7.5" bestFit="1" customWidth="1"/>
    <col min="28" max="28" width="27.6640625" bestFit="1" customWidth="1"/>
    <col min="29" max="29" width="2.1640625" bestFit="1" customWidth="1"/>
    <col min="30" max="30" width="8.33203125" bestFit="1" customWidth="1"/>
  </cols>
  <sheetData>
    <row r="1" spans="2:34" ht="17" thickBot="1"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2:34" ht="27">
      <c r="B2" s="78" t="s">
        <v>0</v>
      </c>
      <c r="C2" s="79"/>
      <c r="D2" s="79"/>
      <c r="E2" s="79"/>
      <c r="F2" s="79"/>
      <c r="G2" s="79"/>
      <c r="H2" s="79"/>
      <c r="I2" s="79"/>
      <c r="J2" s="79"/>
      <c r="K2" s="80"/>
    </row>
    <row r="3" spans="2:34">
      <c r="B3" s="14"/>
      <c r="E3" s="22"/>
      <c r="F3" s="15"/>
      <c r="G3" s="15"/>
      <c r="H3" s="15"/>
      <c r="I3" s="15"/>
      <c r="J3" s="15"/>
      <c r="K3" s="6"/>
    </row>
    <row r="4" spans="2:34" ht="23" thickBot="1">
      <c r="B4" s="14"/>
      <c r="C4" s="105" t="s">
        <v>1</v>
      </c>
      <c r="D4" s="105"/>
      <c r="E4" s="15"/>
      <c r="F4" s="15"/>
      <c r="G4" s="15"/>
      <c r="H4" s="15"/>
      <c r="I4" s="15"/>
      <c r="J4" s="15"/>
      <c r="K4" s="6"/>
    </row>
    <row r="5" spans="2:34" ht="17" thickBot="1">
      <c r="B5" s="14"/>
      <c r="C5" s="101" t="s">
        <v>2</v>
      </c>
      <c r="D5" s="101" t="s">
        <v>3</v>
      </c>
      <c r="E5" s="101"/>
      <c r="F5" s="101" t="s">
        <v>4</v>
      </c>
      <c r="G5" s="101" t="s">
        <v>5</v>
      </c>
      <c r="H5" s="101" t="s">
        <v>6</v>
      </c>
      <c r="I5" s="101"/>
      <c r="J5" s="101" t="s">
        <v>7</v>
      </c>
      <c r="K5" s="6"/>
    </row>
    <row r="6" spans="2:34" ht="17" thickBot="1">
      <c r="B6" s="14"/>
      <c r="C6" s="4" t="s">
        <v>8</v>
      </c>
      <c r="D6" s="4">
        <v>21</v>
      </c>
      <c r="E6" s="4" t="s">
        <v>9</v>
      </c>
      <c r="F6" s="4">
        <v>9</v>
      </c>
      <c r="G6" s="4">
        <v>2</v>
      </c>
      <c r="H6" s="4">
        <v>10</v>
      </c>
      <c r="I6" s="5" t="s">
        <v>10</v>
      </c>
      <c r="J6" s="4">
        <v>95</v>
      </c>
      <c r="K6" s="6"/>
    </row>
    <row r="7" spans="2:34" ht="17" thickBot="1">
      <c r="B7" s="14"/>
      <c r="C7" s="45" t="s">
        <v>11</v>
      </c>
      <c r="D7" s="45">
        <v>2</v>
      </c>
      <c r="E7" s="4" t="s">
        <v>9</v>
      </c>
      <c r="F7" s="45">
        <v>1</v>
      </c>
      <c r="G7" s="45">
        <v>1</v>
      </c>
      <c r="H7" s="45">
        <v>0</v>
      </c>
      <c r="I7" s="5" t="s">
        <v>10</v>
      </c>
      <c r="J7" s="45">
        <v>9</v>
      </c>
      <c r="K7" s="6"/>
    </row>
    <row r="8" spans="2:34" ht="17" thickBot="1">
      <c r="B8" s="14"/>
      <c r="C8" s="45" t="s">
        <v>12</v>
      </c>
      <c r="D8" s="45">
        <v>4</v>
      </c>
      <c r="E8" s="4" t="s">
        <v>9</v>
      </c>
      <c r="F8" s="45">
        <v>0</v>
      </c>
      <c r="G8" s="45">
        <v>3</v>
      </c>
      <c r="H8" s="45">
        <v>1</v>
      </c>
      <c r="I8" s="5" t="s">
        <v>10</v>
      </c>
      <c r="J8" s="45">
        <v>18</v>
      </c>
      <c r="K8" s="6"/>
    </row>
    <row r="9" spans="2:34" ht="17" thickBot="1">
      <c r="B9" s="14"/>
      <c r="C9" s="45" t="s">
        <v>13</v>
      </c>
      <c r="D9" s="45">
        <v>1</v>
      </c>
      <c r="E9" s="4" t="s">
        <v>9</v>
      </c>
      <c r="F9" s="45">
        <v>0</v>
      </c>
      <c r="G9" s="45">
        <v>1</v>
      </c>
      <c r="H9" s="45">
        <v>0</v>
      </c>
      <c r="I9" s="5" t="s">
        <v>10</v>
      </c>
      <c r="J9" s="45">
        <v>10</v>
      </c>
      <c r="K9" s="6"/>
    </row>
    <row r="10" spans="2:34" ht="17" thickBot="1">
      <c r="B10" s="14"/>
      <c r="C10" s="153" t="s">
        <v>14</v>
      </c>
      <c r="D10" s="153">
        <v>0</v>
      </c>
      <c r="E10" s="98" t="s">
        <v>9</v>
      </c>
      <c r="F10" s="153">
        <v>0</v>
      </c>
      <c r="G10" s="153">
        <v>0</v>
      </c>
      <c r="H10" s="153">
        <v>0</v>
      </c>
      <c r="I10" s="5" t="s">
        <v>10</v>
      </c>
      <c r="J10" s="46">
        <v>0</v>
      </c>
      <c r="K10" s="6"/>
    </row>
    <row r="11" spans="2:34" ht="17" thickBot="1">
      <c r="B11" s="14"/>
      <c r="C11" s="106" t="s">
        <v>15</v>
      </c>
      <c r="D11" s="107"/>
      <c r="E11" s="107"/>
      <c r="F11" s="107"/>
      <c r="G11" s="107"/>
      <c r="H11" s="108"/>
      <c r="I11" s="11" t="s">
        <v>10</v>
      </c>
      <c r="J11" s="11">
        <f>SUM(J6:J10)</f>
        <v>132</v>
      </c>
      <c r="K11" s="6"/>
    </row>
    <row r="12" spans="2:34">
      <c r="B12" s="14"/>
      <c r="C12" s="15"/>
      <c r="D12" s="15"/>
      <c r="E12" s="15"/>
      <c r="F12" s="15"/>
      <c r="G12" s="15"/>
      <c r="H12" s="15"/>
      <c r="I12" s="15"/>
      <c r="J12" s="15"/>
      <c r="K12" s="6"/>
    </row>
    <row r="13" spans="2:34" ht="22">
      <c r="B13" s="14"/>
      <c r="C13" s="105" t="s">
        <v>104</v>
      </c>
      <c r="D13" s="105"/>
      <c r="E13" s="15"/>
      <c r="F13" s="15"/>
      <c r="G13" s="15"/>
      <c r="H13" s="15"/>
      <c r="I13" s="15"/>
      <c r="J13" s="15"/>
      <c r="K13" s="6"/>
    </row>
    <row r="14" spans="2:34">
      <c r="B14" s="14"/>
      <c r="C14" s="15"/>
      <c r="D14" s="15"/>
      <c r="E14" s="15"/>
      <c r="F14" s="15"/>
      <c r="G14" s="15"/>
      <c r="H14" s="15"/>
      <c r="I14" s="15"/>
      <c r="J14" s="15"/>
      <c r="K14" s="6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</row>
    <row r="15" spans="2:34">
      <c r="B15" s="14"/>
      <c r="C15" s="103" t="s">
        <v>105</v>
      </c>
      <c r="D15" s="15"/>
      <c r="E15" s="15"/>
      <c r="F15" s="15"/>
      <c r="G15" s="15"/>
      <c r="H15" s="15"/>
      <c r="I15" s="15"/>
      <c r="J15" s="15"/>
      <c r="K15" s="6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</row>
    <row r="16" spans="2:34">
      <c r="B16" s="14"/>
      <c r="C16" s="104" t="s">
        <v>16</v>
      </c>
      <c r="D16" s="15"/>
      <c r="E16" s="15"/>
      <c r="F16" s="15"/>
      <c r="G16" s="15"/>
      <c r="H16" s="15"/>
      <c r="I16" s="15"/>
      <c r="J16" s="15"/>
      <c r="K16" s="6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</row>
    <row r="17" spans="2:34" ht="17" thickBot="1">
      <c r="B17" s="14"/>
      <c r="C17" s="15"/>
      <c r="D17" s="15"/>
      <c r="E17" s="15"/>
      <c r="F17" s="15"/>
      <c r="G17" s="15"/>
      <c r="H17" s="15"/>
      <c r="I17" s="15"/>
      <c r="J17" s="15"/>
      <c r="K17" s="6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</row>
    <row r="18" spans="2:34" ht="17" thickBot="1">
      <c r="B18" s="14"/>
      <c r="C18" s="101" t="s">
        <v>17</v>
      </c>
      <c r="D18" s="102" t="s">
        <v>18</v>
      </c>
      <c r="E18" s="15"/>
      <c r="F18" s="9" t="s">
        <v>19</v>
      </c>
      <c r="G18" s="15"/>
      <c r="H18" s="15"/>
      <c r="I18" s="15"/>
      <c r="J18" s="15"/>
      <c r="K18" s="6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</row>
    <row r="19" spans="2:34" ht="27" customHeight="1">
      <c r="B19" s="14"/>
      <c r="C19" s="99" t="s">
        <v>20</v>
      </c>
      <c r="D19" s="100">
        <v>4</v>
      </c>
      <c r="E19" s="15"/>
      <c r="F19" s="39" t="s">
        <v>21</v>
      </c>
      <c r="G19" s="15"/>
      <c r="H19" s="15"/>
      <c r="I19" s="15"/>
      <c r="J19" s="15"/>
      <c r="K19" s="6"/>
      <c r="T19" s="122"/>
      <c r="U19" s="122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22"/>
      <c r="AG19" s="122"/>
      <c r="AH19" s="122"/>
    </row>
    <row r="20" spans="2:34">
      <c r="B20" s="14"/>
      <c r="C20" s="99" t="s">
        <v>22</v>
      </c>
      <c r="D20" s="100">
        <v>2</v>
      </c>
      <c r="E20" s="15"/>
      <c r="F20" s="39" t="s">
        <v>23</v>
      </c>
      <c r="G20" s="15"/>
      <c r="H20" s="15"/>
      <c r="I20" s="15"/>
      <c r="J20" s="15"/>
      <c r="K20" s="6"/>
      <c r="T20" s="122"/>
      <c r="U20" s="122"/>
      <c r="V20" s="122"/>
      <c r="W20" s="122"/>
      <c r="X20" s="122"/>
      <c r="Y20" s="123"/>
      <c r="Z20" s="122"/>
      <c r="AA20" s="122"/>
      <c r="AB20" s="122"/>
      <c r="AC20" s="122"/>
      <c r="AD20" s="122"/>
      <c r="AE20" s="122"/>
      <c r="AF20" s="122"/>
      <c r="AG20" s="122"/>
      <c r="AH20" s="122"/>
    </row>
    <row r="21" spans="2:34" ht="22" customHeight="1">
      <c r="B21" s="14"/>
      <c r="C21" s="99" t="s">
        <v>24</v>
      </c>
      <c r="D21" s="100">
        <v>3</v>
      </c>
      <c r="E21" s="15"/>
      <c r="F21" s="39" t="s">
        <v>25</v>
      </c>
      <c r="G21" s="15"/>
      <c r="H21" s="15"/>
      <c r="I21" s="15"/>
      <c r="J21" s="15"/>
      <c r="K21" s="6"/>
      <c r="T21" s="122"/>
      <c r="U21" s="122"/>
      <c r="V21" s="122"/>
      <c r="W21" s="151"/>
      <c r="X21" s="151"/>
      <c r="Y21" s="151"/>
      <c r="Z21" s="151"/>
      <c r="AA21" s="151"/>
      <c r="AB21" s="151"/>
      <c r="AC21" s="151"/>
      <c r="AD21" s="151"/>
      <c r="AE21" s="122"/>
      <c r="AF21" s="122"/>
      <c r="AG21" s="122"/>
      <c r="AH21" s="122"/>
    </row>
    <row r="22" spans="2:34">
      <c r="B22" s="14"/>
      <c r="C22" s="99" t="s">
        <v>26</v>
      </c>
      <c r="D22" s="100">
        <v>3</v>
      </c>
      <c r="E22" s="15"/>
      <c r="F22" s="39" t="s">
        <v>27</v>
      </c>
      <c r="G22" s="15"/>
      <c r="H22" s="15"/>
      <c r="I22" s="15"/>
      <c r="J22" s="15"/>
      <c r="K22" s="6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</row>
    <row r="23" spans="2:34">
      <c r="B23" s="14"/>
      <c r="C23" s="99" t="s">
        <v>28</v>
      </c>
      <c r="D23" s="100">
        <v>2</v>
      </c>
      <c r="E23" s="15"/>
      <c r="F23" s="39" t="s">
        <v>29</v>
      </c>
      <c r="G23" s="15"/>
      <c r="H23" s="15"/>
      <c r="I23" s="15"/>
      <c r="J23" s="15"/>
      <c r="K23" s="6"/>
      <c r="T23" s="122"/>
      <c r="U23" s="122"/>
      <c r="V23" s="122"/>
      <c r="W23" s="122"/>
      <c r="X23" s="122"/>
      <c r="Y23" s="150"/>
      <c r="Z23" s="122"/>
      <c r="AA23" s="122"/>
      <c r="AB23" s="122"/>
      <c r="AC23" s="150"/>
      <c r="AD23" s="122"/>
      <c r="AE23" s="122"/>
      <c r="AF23" s="122"/>
      <c r="AG23" s="122"/>
      <c r="AH23" s="122"/>
    </row>
    <row r="24" spans="2:34">
      <c r="B24" s="14"/>
      <c r="C24" s="99" t="s">
        <v>30</v>
      </c>
      <c r="D24" s="100">
        <v>5</v>
      </c>
      <c r="E24" s="15"/>
      <c r="F24" s="3" t="s">
        <v>31</v>
      </c>
      <c r="G24" s="15"/>
      <c r="H24" s="15"/>
      <c r="I24" s="15"/>
      <c r="J24" s="15"/>
      <c r="K24" s="6"/>
      <c r="T24" s="122"/>
      <c r="U24" s="122"/>
      <c r="V24" s="122"/>
      <c r="W24" s="122"/>
      <c r="X24" s="122"/>
      <c r="Y24" s="150"/>
      <c r="Z24" s="122"/>
      <c r="AA24" s="122"/>
      <c r="AB24" s="122"/>
      <c r="AC24" s="150"/>
      <c r="AD24" s="122"/>
      <c r="AE24" s="122"/>
      <c r="AF24" s="122"/>
      <c r="AG24" s="122"/>
      <c r="AH24" s="122"/>
    </row>
    <row r="25" spans="2:34">
      <c r="B25" s="14"/>
      <c r="C25" s="99" t="s">
        <v>32</v>
      </c>
      <c r="D25" s="100">
        <v>5</v>
      </c>
      <c r="E25" s="15"/>
      <c r="F25" s="15"/>
      <c r="G25" s="15"/>
      <c r="H25" s="15"/>
      <c r="I25" s="15"/>
      <c r="J25" s="15"/>
      <c r="K25" s="6"/>
      <c r="T25" s="122"/>
      <c r="U25" s="122"/>
      <c r="V25" s="122"/>
      <c r="W25" s="122"/>
      <c r="X25" s="122"/>
      <c r="Y25" s="150"/>
      <c r="Z25" s="122"/>
      <c r="AA25" s="122"/>
      <c r="AB25" s="122"/>
      <c r="AC25" s="150"/>
      <c r="AD25" s="122"/>
      <c r="AE25" s="122"/>
      <c r="AF25" s="122"/>
      <c r="AG25" s="122"/>
      <c r="AH25" s="122"/>
    </row>
    <row r="26" spans="2:34">
      <c r="B26" s="14"/>
      <c r="C26" s="99" t="s">
        <v>33</v>
      </c>
      <c r="D26" s="100">
        <v>3</v>
      </c>
      <c r="E26" s="15"/>
      <c r="F26" s="15"/>
      <c r="G26" s="15"/>
      <c r="H26" s="15"/>
      <c r="I26" s="15"/>
      <c r="J26" s="15"/>
      <c r="K26" s="6"/>
      <c r="T26" s="122"/>
      <c r="U26" s="122"/>
      <c r="V26" s="122"/>
      <c r="W26" s="122"/>
      <c r="X26" s="122"/>
      <c r="Y26" s="150"/>
      <c r="Z26" s="122"/>
      <c r="AA26" s="122"/>
      <c r="AB26" s="122"/>
      <c r="AC26" s="150"/>
      <c r="AD26" s="122"/>
      <c r="AE26" s="122"/>
      <c r="AF26" s="122"/>
      <c r="AG26" s="122"/>
      <c r="AH26" s="122"/>
    </row>
    <row r="27" spans="2:34">
      <c r="B27" s="14"/>
      <c r="C27" s="99" t="s">
        <v>34</v>
      </c>
      <c r="D27" s="100">
        <v>2</v>
      </c>
      <c r="E27" s="15"/>
      <c r="F27" s="15"/>
      <c r="G27" s="15"/>
      <c r="H27" s="15"/>
      <c r="I27" s="15"/>
      <c r="J27" s="15"/>
      <c r="K27" s="6"/>
      <c r="T27" s="122"/>
      <c r="U27" s="122"/>
      <c r="V27" s="122"/>
      <c r="W27" s="122"/>
      <c r="X27" s="122"/>
      <c r="Y27" s="150"/>
      <c r="Z27" s="122"/>
      <c r="AA27" s="122"/>
      <c r="AB27" s="122"/>
      <c r="AC27" s="150"/>
      <c r="AD27" s="122"/>
      <c r="AE27" s="122"/>
      <c r="AF27" s="122"/>
      <c r="AG27" s="122"/>
      <c r="AH27" s="122"/>
    </row>
    <row r="28" spans="2:34">
      <c r="B28" s="14"/>
      <c r="C28" s="99" t="s">
        <v>35</v>
      </c>
      <c r="D28" s="100">
        <v>4</v>
      </c>
      <c r="E28" s="15"/>
      <c r="F28" s="15"/>
      <c r="G28" s="15"/>
      <c r="H28" s="15"/>
      <c r="I28" s="15"/>
      <c r="J28" s="15"/>
      <c r="K28" s="6"/>
      <c r="T28" s="122"/>
      <c r="U28" s="122"/>
      <c r="V28" s="122"/>
      <c r="W28" s="167"/>
      <c r="X28" s="157"/>
      <c r="Y28" s="157"/>
      <c r="Z28" s="157"/>
      <c r="AA28" s="157"/>
      <c r="AB28" s="157"/>
      <c r="AC28" s="150"/>
      <c r="AD28" s="122"/>
      <c r="AE28" s="122"/>
      <c r="AF28" s="122"/>
      <c r="AG28" s="122"/>
      <c r="AH28" s="122"/>
    </row>
    <row r="29" spans="2:34">
      <c r="B29" s="14"/>
      <c r="C29" s="99" t="s">
        <v>36</v>
      </c>
      <c r="D29" s="100">
        <v>0</v>
      </c>
      <c r="E29" s="15" t="s">
        <v>99</v>
      </c>
      <c r="F29" s="15"/>
      <c r="G29" s="15"/>
      <c r="H29" s="15"/>
      <c r="I29" s="15"/>
      <c r="J29" s="15"/>
      <c r="K29" s="6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</row>
    <row r="30" spans="2:34" ht="19" customHeight="1">
      <c r="B30" s="14"/>
      <c r="C30" s="99" t="s">
        <v>37</v>
      </c>
      <c r="D30" s="100">
        <v>4</v>
      </c>
      <c r="E30" s="15"/>
      <c r="F30" s="15"/>
      <c r="G30" s="15"/>
      <c r="H30" s="15"/>
      <c r="I30" s="15"/>
      <c r="J30" s="15"/>
      <c r="K30" s="6"/>
      <c r="T30" s="122"/>
      <c r="U30" s="122"/>
      <c r="V30" s="122"/>
      <c r="W30" s="168"/>
      <c r="X30" s="168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</row>
    <row r="31" spans="2:34">
      <c r="B31" s="14"/>
      <c r="C31" s="99" t="s">
        <v>38</v>
      </c>
      <c r="D31" s="100">
        <v>0</v>
      </c>
      <c r="E31" s="15"/>
      <c r="F31" s="15"/>
      <c r="G31" s="15"/>
      <c r="H31" s="15"/>
      <c r="I31" s="15"/>
      <c r="J31" s="15"/>
      <c r="K31" s="6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</row>
    <row r="32" spans="2:34" ht="17" thickBot="1">
      <c r="B32" s="14"/>
      <c r="C32" s="99" t="s">
        <v>39</v>
      </c>
      <c r="D32" s="100">
        <v>2</v>
      </c>
      <c r="E32" s="15"/>
      <c r="F32" s="15"/>
      <c r="G32" s="15"/>
      <c r="H32" s="15"/>
      <c r="I32" s="15"/>
      <c r="J32" s="15"/>
      <c r="K32" s="6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</row>
    <row r="33" spans="2:34" ht="17" thickBot="1">
      <c r="B33" s="14"/>
      <c r="C33" s="12" t="s">
        <v>66</v>
      </c>
      <c r="D33" s="89">
        <f>SUM(D19:D32)</f>
        <v>39</v>
      </c>
      <c r="E33" s="15"/>
      <c r="F33" s="15"/>
      <c r="G33" s="15"/>
      <c r="H33" s="15"/>
      <c r="I33" s="15"/>
      <c r="J33" s="15"/>
      <c r="K33" s="6"/>
      <c r="T33" s="122"/>
      <c r="U33" s="122"/>
      <c r="V33" s="122"/>
      <c r="W33" s="159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</row>
    <row r="34" spans="2:34" ht="17" thickBot="1">
      <c r="B34" s="14"/>
      <c r="C34" s="15"/>
      <c r="D34" s="15"/>
      <c r="E34" s="15"/>
      <c r="F34" s="15"/>
      <c r="G34" s="15"/>
      <c r="H34" s="15"/>
      <c r="I34" s="15"/>
      <c r="J34" s="15"/>
      <c r="K34" s="6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</row>
    <row r="35" spans="2:34" ht="17" thickBot="1">
      <c r="B35" s="14"/>
      <c r="C35" s="8" t="s">
        <v>40</v>
      </c>
      <c r="D35" s="97">
        <f>(0.65 + (0.01 * D33))</f>
        <v>1.04</v>
      </c>
      <c r="E35" s="15"/>
      <c r="F35" s="15"/>
      <c r="G35" s="15"/>
      <c r="H35" s="15"/>
      <c r="I35" s="15"/>
      <c r="J35" s="15"/>
      <c r="K35" s="6"/>
      <c r="T35" s="122"/>
      <c r="U35" s="122"/>
      <c r="V35" s="122"/>
      <c r="W35" s="113"/>
      <c r="X35" s="113"/>
      <c r="Y35" s="122"/>
      <c r="Z35" s="122"/>
      <c r="AA35" s="122"/>
      <c r="AB35" s="158"/>
      <c r="AC35" s="122"/>
      <c r="AD35" s="122"/>
      <c r="AE35" s="122"/>
      <c r="AF35" s="122"/>
      <c r="AG35" s="122"/>
      <c r="AH35" s="122"/>
    </row>
    <row r="36" spans="2:34" ht="17" thickBot="1">
      <c r="B36" s="14"/>
      <c r="C36" s="15"/>
      <c r="D36" s="17"/>
      <c r="E36" s="15"/>
      <c r="F36" s="15"/>
      <c r="G36" s="15"/>
      <c r="H36" s="15"/>
      <c r="I36" s="15"/>
      <c r="J36" s="15"/>
      <c r="K36" s="6"/>
      <c r="T36" s="122"/>
      <c r="U36" s="122"/>
      <c r="V36" s="122"/>
      <c r="W36" s="160"/>
      <c r="X36" s="161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</row>
    <row r="37" spans="2:34" ht="17" thickBot="1">
      <c r="B37" s="14"/>
      <c r="C37" s="13" t="s">
        <v>41</v>
      </c>
      <c r="D37" s="109">
        <f xml:space="preserve"> (J11 * D35)</f>
        <v>137.28</v>
      </c>
      <c r="E37" s="15"/>
      <c r="F37" s="15"/>
      <c r="G37" s="15"/>
      <c r="H37" s="15"/>
      <c r="I37" s="15"/>
      <c r="J37" s="15"/>
      <c r="K37" s="6"/>
      <c r="T37" s="122"/>
      <c r="U37" s="122"/>
      <c r="V37" s="122"/>
      <c r="W37" s="160"/>
      <c r="X37" s="161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</row>
    <row r="38" spans="2:34">
      <c r="B38" s="14"/>
      <c r="C38" s="15"/>
      <c r="D38" s="15"/>
      <c r="E38" s="15"/>
      <c r="F38" s="15"/>
      <c r="G38" s="15"/>
      <c r="H38" s="15"/>
      <c r="I38" s="15"/>
      <c r="J38" s="15"/>
      <c r="K38" s="6"/>
      <c r="T38" s="122"/>
      <c r="U38" s="122"/>
      <c r="V38" s="122"/>
      <c r="W38" s="160"/>
      <c r="X38" s="161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</row>
    <row r="39" spans="2:34">
      <c r="B39" s="14"/>
      <c r="C39" s="15"/>
      <c r="D39" s="15"/>
      <c r="E39" s="15"/>
      <c r="F39" s="15"/>
      <c r="G39" s="15"/>
      <c r="H39" s="15"/>
      <c r="I39" s="15"/>
      <c r="J39" s="15"/>
      <c r="K39" s="6"/>
      <c r="T39" s="122"/>
      <c r="U39" s="122"/>
      <c r="V39" s="122"/>
      <c r="W39" s="160"/>
      <c r="X39" s="161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</row>
    <row r="40" spans="2:34" ht="17" thickBot="1">
      <c r="B40" s="76"/>
      <c r="C40" s="77"/>
      <c r="D40" s="20"/>
      <c r="E40" s="20"/>
      <c r="F40" s="20"/>
      <c r="G40" s="20"/>
      <c r="H40" s="20"/>
      <c r="I40" s="20"/>
      <c r="J40" s="20"/>
      <c r="K40" s="7"/>
      <c r="T40" s="122"/>
      <c r="U40" s="122"/>
      <c r="V40" s="122"/>
      <c r="W40" s="160"/>
      <c r="X40" s="161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</row>
    <row r="41" spans="2:34">
      <c r="B41" s="1"/>
      <c r="C41" s="1"/>
      <c r="T41" s="122"/>
      <c r="U41" s="122"/>
      <c r="V41" s="122"/>
      <c r="W41" s="160"/>
      <c r="X41" s="161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</row>
    <row r="42" spans="2:34" ht="17" thickBot="1">
      <c r="T42" s="122"/>
      <c r="U42" s="122"/>
      <c r="V42" s="122"/>
      <c r="W42" s="160"/>
      <c r="X42" s="161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</row>
    <row r="43" spans="2:34" ht="27">
      <c r="B43" s="78" t="s">
        <v>43</v>
      </c>
      <c r="C43" s="79"/>
      <c r="D43" s="79"/>
      <c r="E43" s="79"/>
      <c r="F43" s="80"/>
      <c r="T43" s="122"/>
      <c r="U43" s="122"/>
      <c r="V43" s="122"/>
      <c r="W43" s="160"/>
      <c r="X43" s="161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</row>
    <row r="44" spans="2:34">
      <c r="B44" s="14"/>
      <c r="C44" s="28"/>
      <c r="D44" s="15"/>
      <c r="E44" s="15"/>
      <c r="F44" s="6"/>
      <c r="T44" s="122"/>
      <c r="U44" s="122"/>
      <c r="V44" s="122"/>
      <c r="W44" s="160"/>
      <c r="X44" s="161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</row>
    <row r="45" spans="2:34">
      <c r="B45" s="14"/>
      <c r="C45" s="32" t="s">
        <v>70</v>
      </c>
      <c r="D45" s="15"/>
      <c r="E45" s="32" t="s">
        <v>85</v>
      </c>
      <c r="F45" s="6"/>
      <c r="T45" s="122"/>
      <c r="U45" s="122"/>
      <c r="V45" s="122"/>
      <c r="W45" s="160"/>
      <c r="X45" s="161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</row>
    <row r="46" spans="2:34">
      <c r="B46" s="14"/>
      <c r="C46" s="30" t="s">
        <v>71</v>
      </c>
      <c r="D46" s="15"/>
      <c r="E46" s="82" t="s">
        <v>77</v>
      </c>
      <c r="F46" s="6"/>
      <c r="T46" s="122"/>
      <c r="U46" s="122"/>
      <c r="V46" s="122"/>
      <c r="W46" s="160"/>
      <c r="X46" s="161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</row>
    <row r="47" spans="2:34">
      <c r="B47" s="14"/>
      <c r="C47" s="30" t="s">
        <v>72</v>
      </c>
      <c r="D47" s="15"/>
      <c r="E47" s="83" t="s">
        <v>84</v>
      </c>
      <c r="F47" s="6"/>
      <c r="T47" s="122"/>
      <c r="U47" s="122"/>
      <c r="V47" s="122"/>
      <c r="W47" s="160"/>
      <c r="X47" s="161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</row>
    <row r="48" spans="2:34">
      <c r="B48" s="14"/>
      <c r="C48" s="30" t="s">
        <v>73</v>
      </c>
      <c r="D48" s="15"/>
      <c r="E48" s="84"/>
      <c r="F48" s="6"/>
      <c r="T48" s="122"/>
      <c r="U48" s="122"/>
      <c r="V48" s="122"/>
      <c r="W48" s="160"/>
      <c r="X48" s="161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</row>
    <row r="49" spans="2:34">
      <c r="B49" s="14"/>
      <c r="C49" s="31" t="s">
        <v>74</v>
      </c>
      <c r="D49" s="15"/>
      <c r="E49" s="84"/>
      <c r="F49" s="6"/>
      <c r="T49" s="122"/>
      <c r="U49" s="122"/>
      <c r="V49" s="122"/>
      <c r="W49" s="160"/>
      <c r="X49" s="161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</row>
    <row r="50" spans="2:34">
      <c r="B50" s="14"/>
      <c r="C50" s="29"/>
      <c r="D50" s="15"/>
      <c r="E50" s="85"/>
      <c r="F50" s="6"/>
      <c r="T50" s="122"/>
      <c r="U50" s="122"/>
      <c r="V50" s="122"/>
      <c r="W50" s="162"/>
      <c r="X50" s="15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</row>
    <row r="51" spans="2:34" ht="17" thickBot="1">
      <c r="B51" s="21"/>
      <c r="C51" s="22"/>
      <c r="D51" s="15"/>
      <c r="E51" s="15"/>
      <c r="F51" s="6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</row>
    <row r="52" spans="2:34" s="139" customFormat="1" ht="22">
      <c r="B52" s="144"/>
      <c r="C52" s="141" t="s">
        <v>100</v>
      </c>
      <c r="D52" s="142"/>
      <c r="E52" s="143"/>
      <c r="F52" s="138"/>
      <c r="T52" s="163"/>
      <c r="U52" s="163"/>
      <c r="V52" s="122"/>
      <c r="W52" s="164"/>
      <c r="X52" s="152"/>
      <c r="Y52" s="122"/>
      <c r="Z52" s="122"/>
      <c r="AA52" s="122"/>
      <c r="AB52" s="122"/>
      <c r="AC52" s="122"/>
      <c r="AD52" s="122"/>
      <c r="AE52" s="122"/>
      <c r="AF52" s="163"/>
      <c r="AG52" s="163"/>
      <c r="AH52" s="163"/>
    </row>
    <row r="53" spans="2:34">
      <c r="B53" s="14"/>
      <c r="C53" s="62" t="s">
        <v>96</v>
      </c>
      <c r="D53" s="63"/>
      <c r="E53" s="6"/>
      <c r="F53" s="6"/>
      <c r="T53" s="122"/>
      <c r="U53" s="122"/>
      <c r="V53" s="122"/>
      <c r="W53" s="122"/>
      <c r="X53" s="15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</row>
    <row r="54" spans="2:34" ht="17" thickBot="1">
      <c r="B54" s="21"/>
      <c r="C54" s="62"/>
      <c r="D54" s="63"/>
      <c r="E54" s="6"/>
      <c r="F54" s="6"/>
      <c r="T54" s="122"/>
      <c r="U54" s="122"/>
      <c r="V54" s="122"/>
      <c r="W54" s="165"/>
      <c r="X54" s="123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</row>
    <row r="55" spans="2:34">
      <c r="B55" s="14"/>
      <c r="C55" s="49"/>
      <c r="D55" s="56"/>
      <c r="E55" s="86" t="s">
        <v>101</v>
      </c>
      <c r="F55" s="6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</row>
    <row r="56" spans="2:34">
      <c r="B56" s="14"/>
      <c r="C56" s="49" t="s">
        <v>75</v>
      </c>
      <c r="D56" s="56"/>
      <c r="E56" s="87"/>
      <c r="F56" s="6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</row>
    <row r="57" spans="2:34">
      <c r="B57" s="14"/>
      <c r="C57" s="49" t="s">
        <v>44</v>
      </c>
      <c r="D57" s="56">
        <f>79-12+100+11+29+29+14+81-16+14+79+140+262-46</f>
        <v>764</v>
      </c>
      <c r="E57" s="87"/>
      <c r="F57" s="6"/>
      <c r="T57" s="122"/>
      <c r="U57" s="122"/>
      <c r="V57" s="123"/>
      <c r="W57" s="123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</row>
    <row r="58" spans="2:34" ht="17" thickBot="1">
      <c r="B58" s="14"/>
      <c r="C58" s="110" t="s">
        <v>45</v>
      </c>
      <c r="D58" s="111">
        <f>79+20+100+11+29+29+14+81+14+79+140+262</f>
        <v>858</v>
      </c>
      <c r="E58" s="87"/>
      <c r="F58" s="6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</row>
    <row r="59" spans="2:34" ht="17" thickBot="1">
      <c r="B59" s="14"/>
      <c r="C59" s="43" t="s">
        <v>67</v>
      </c>
      <c r="D59" s="44">
        <f>(D37 * 45)</f>
        <v>6177.6</v>
      </c>
      <c r="E59" s="87"/>
      <c r="F59" s="6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</row>
    <row r="60" spans="2:34">
      <c r="B60" s="14"/>
      <c r="C60" s="48" t="s">
        <v>86</v>
      </c>
      <c r="D60" s="27">
        <v>6.1769999999999996</v>
      </c>
      <c r="E60" s="87"/>
      <c r="F60" s="6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</row>
    <row r="61" spans="2:34" ht="17" thickBot="1">
      <c r="B61" s="14"/>
      <c r="C61" s="50" t="s">
        <v>87</v>
      </c>
      <c r="D61" s="58">
        <f xml:space="preserve"> 5*2</f>
        <v>10</v>
      </c>
      <c r="E61" s="87"/>
      <c r="F61" s="6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</row>
    <row r="62" spans="2:34" ht="17" thickBot="1">
      <c r="B62" s="14"/>
      <c r="C62" s="43" t="s">
        <v>46</v>
      </c>
      <c r="D62" s="44">
        <f>(D60 / D61)</f>
        <v>0.61769999999999992</v>
      </c>
      <c r="E62" s="88"/>
      <c r="F62" s="6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</row>
    <row r="63" spans="2:34" ht="17" thickBot="1">
      <c r="B63" s="14"/>
      <c r="C63" s="54"/>
      <c r="D63" s="55"/>
      <c r="E63" s="7"/>
      <c r="F63" s="6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</row>
    <row r="64" spans="2:34" ht="17" thickBot="1">
      <c r="B64" s="14"/>
      <c r="C64" s="25"/>
      <c r="D64" s="15"/>
      <c r="E64" s="24"/>
      <c r="F64" s="6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</row>
    <row r="65" spans="2:6" s="139" customFormat="1" ht="34" customHeight="1">
      <c r="B65" s="140"/>
      <c r="C65" s="141" t="s">
        <v>95</v>
      </c>
      <c r="D65" s="142"/>
      <c r="E65" s="143"/>
      <c r="F65" s="138"/>
    </row>
    <row r="66" spans="2:6">
      <c r="B66" s="14"/>
      <c r="C66" s="62" t="s">
        <v>69</v>
      </c>
      <c r="D66" s="63"/>
      <c r="E66" s="6"/>
      <c r="F66" s="6"/>
    </row>
    <row r="67" spans="2:6" ht="41" customHeight="1" thickBot="1">
      <c r="B67" s="14"/>
      <c r="C67" s="64"/>
      <c r="D67" s="63"/>
      <c r="E67" s="6"/>
      <c r="F67" s="6"/>
    </row>
    <row r="68" spans="2:6">
      <c r="B68" s="14"/>
      <c r="C68" s="47" t="s">
        <v>88</v>
      </c>
      <c r="D68" s="57"/>
      <c r="E68" s="86" t="s">
        <v>122</v>
      </c>
      <c r="F68" s="6"/>
    </row>
    <row r="69" spans="2:6">
      <c r="B69" s="14"/>
      <c r="C69" s="45" t="s">
        <v>121</v>
      </c>
      <c r="D69" s="57"/>
      <c r="E69" s="87"/>
      <c r="F69" s="6"/>
    </row>
    <row r="70" spans="2:6">
      <c r="B70" s="14"/>
      <c r="C70" s="45" t="s">
        <v>120</v>
      </c>
      <c r="D70" s="57"/>
      <c r="E70" s="87"/>
      <c r="F70" s="6"/>
    </row>
    <row r="71" spans="2:6">
      <c r="B71" s="14"/>
      <c r="C71" s="45" t="s">
        <v>118</v>
      </c>
      <c r="D71" s="57"/>
      <c r="E71" s="87"/>
      <c r="F71" s="6"/>
    </row>
    <row r="72" spans="2:6" ht="17" thickBot="1">
      <c r="B72" s="14"/>
      <c r="C72" s="46" t="s">
        <v>119</v>
      </c>
      <c r="D72" s="57"/>
      <c r="E72" s="87"/>
      <c r="F72" s="6"/>
    </row>
    <row r="73" spans="2:6">
      <c r="B73" s="14"/>
      <c r="C73" s="48"/>
      <c r="D73" s="56"/>
      <c r="E73" s="87"/>
      <c r="F73" s="6"/>
    </row>
    <row r="74" spans="2:6">
      <c r="B74" s="14"/>
      <c r="C74" s="49" t="s">
        <v>76</v>
      </c>
      <c r="D74" s="56">
        <f>((0.199*45 )+(0.101*47) + (50*0.211) +(0.489*34))</f>
        <v>40.878</v>
      </c>
      <c r="E74" s="87"/>
      <c r="F74" s="6"/>
    </row>
    <row r="75" spans="2:6" ht="17" thickBot="1">
      <c r="B75" s="14"/>
      <c r="C75" s="50"/>
      <c r="D75" s="58"/>
      <c r="E75" s="87"/>
      <c r="F75" s="6"/>
    </row>
    <row r="76" spans="2:6" ht="17" thickBot="1">
      <c r="B76" s="14"/>
      <c r="C76" s="43" t="s">
        <v>68</v>
      </c>
      <c r="D76" s="44">
        <f>(D74*D37)</f>
        <v>5611.7318400000004</v>
      </c>
      <c r="E76" s="87"/>
      <c r="F76" s="6"/>
    </row>
    <row r="77" spans="2:6">
      <c r="B77" s="14"/>
      <c r="C77" s="51" t="s">
        <v>78</v>
      </c>
      <c r="D77" s="33">
        <v>10622</v>
      </c>
      <c r="E77" s="169"/>
      <c r="F77" s="6"/>
    </row>
    <row r="78" spans="2:6">
      <c r="B78" s="14"/>
      <c r="C78" s="49" t="s">
        <v>86</v>
      </c>
      <c r="D78" s="27">
        <f>D76/1000</f>
        <v>5.61173184</v>
      </c>
      <c r="E78" s="87"/>
      <c r="F78" s="6"/>
    </row>
    <row r="79" spans="2:6" ht="17" thickBot="1">
      <c r="B79" s="14"/>
      <c r="C79" s="50" t="s">
        <v>87</v>
      </c>
      <c r="D79" s="58">
        <f xml:space="preserve"> 5*2</f>
        <v>10</v>
      </c>
      <c r="E79" s="88"/>
      <c r="F79" s="6"/>
    </row>
    <row r="80" spans="2:6" ht="17" thickBot="1">
      <c r="B80" s="14"/>
      <c r="C80" s="43" t="s">
        <v>46</v>
      </c>
      <c r="D80" s="44">
        <f>D78/D79</f>
        <v>0.56117318400000005</v>
      </c>
      <c r="E80" s="6"/>
      <c r="F80" s="6"/>
    </row>
    <row r="81" spans="2:6" ht="17" thickBot="1">
      <c r="B81" s="16"/>
      <c r="C81" s="52"/>
      <c r="D81" s="53"/>
      <c r="E81" s="7"/>
      <c r="F81" s="6"/>
    </row>
    <row r="82" spans="2:6">
      <c r="B82" s="16"/>
      <c r="C82" s="17"/>
      <c r="D82" s="15"/>
      <c r="E82" s="15"/>
      <c r="F82" s="6"/>
    </row>
    <row r="83" spans="2:6" ht="17" thickBot="1">
      <c r="B83" s="16"/>
      <c r="C83" s="22"/>
      <c r="D83" s="15"/>
      <c r="E83" s="15"/>
      <c r="F83" s="6"/>
    </row>
    <row r="84" spans="2:6" ht="17" thickBot="1">
      <c r="B84" s="16"/>
      <c r="C84" s="36" t="s">
        <v>82</v>
      </c>
      <c r="D84" s="37" t="s">
        <v>79</v>
      </c>
      <c r="E84" s="36" t="s">
        <v>80</v>
      </c>
      <c r="F84" s="81"/>
    </row>
    <row r="85" spans="2:6" ht="17" thickBot="1">
      <c r="B85" s="16"/>
      <c r="C85" s="36" t="s">
        <v>81</v>
      </c>
      <c r="D85" s="145">
        <v>5612</v>
      </c>
      <c r="E85" s="146">
        <v>10622</v>
      </c>
      <c r="F85" s="35"/>
    </row>
    <row r="86" spans="2:6">
      <c r="B86" s="16"/>
      <c r="C86" s="17"/>
      <c r="D86" s="15"/>
      <c r="E86" s="15"/>
      <c r="F86" s="6"/>
    </row>
    <row r="87" spans="2:6" ht="17" thickBot="1">
      <c r="B87" s="16"/>
      <c r="C87" s="17"/>
      <c r="D87" s="15"/>
      <c r="E87" s="15"/>
      <c r="F87" s="6"/>
    </row>
    <row r="88" spans="2:6" s="139" customFormat="1" ht="35" customHeight="1" thickBot="1">
      <c r="B88" s="51"/>
      <c r="C88" s="135" t="s">
        <v>83</v>
      </c>
      <c r="D88" s="136"/>
      <c r="E88" s="137"/>
      <c r="F88" s="138"/>
    </row>
    <row r="89" spans="2:6">
      <c r="B89" s="16"/>
      <c r="C89" s="70" t="s">
        <v>123</v>
      </c>
      <c r="D89" s="71"/>
      <c r="E89" s="72"/>
      <c r="F89" s="6"/>
    </row>
    <row r="90" spans="2:6">
      <c r="B90" s="16"/>
      <c r="C90" s="70"/>
      <c r="D90" s="71"/>
      <c r="E90" s="72"/>
      <c r="F90" s="6"/>
    </row>
    <row r="91" spans="2:6" ht="17" thickBot="1">
      <c r="B91" s="16"/>
      <c r="C91" s="73"/>
      <c r="D91" s="74"/>
      <c r="E91" s="75"/>
      <c r="F91" s="6"/>
    </row>
    <row r="92" spans="2:6">
      <c r="B92" s="16"/>
      <c r="C92" s="17"/>
      <c r="D92" s="15"/>
      <c r="E92" s="15"/>
      <c r="F92" s="6"/>
    </row>
    <row r="93" spans="2:6" ht="17" thickBot="1">
      <c r="B93" s="16"/>
      <c r="C93" s="17"/>
      <c r="D93" s="15"/>
      <c r="E93" s="15"/>
      <c r="F93" s="6"/>
    </row>
    <row r="94" spans="2:6" ht="33" customHeight="1" thickBot="1">
      <c r="B94" s="16"/>
      <c r="C94" s="132" t="s">
        <v>42</v>
      </c>
      <c r="D94" s="133"/>
      <c r="E94" s="134"/>
      <c r="F94" s="6"/>
    </row>
    <row r="95" spans="2:6" ht="19" customHeight="1">
      <c r="B95" s="16"/>
      <c r="C95" s="48" t="s">
        <v>93</v>
      </c>
      <c r="D95" s="27">
        <v>8</v>
      </c>
      <c r="E95" s="147" t="s">
        <v>124</v>
      </c>
      <c r="F95" s="6"/>
    </row>
    <row r="96" spans="2:6" ht="19" customHeight="1">
      <c r="B96" s="16"/>
      <c r="C96" s="49" t="s">
        <v>92</v>
      </c>
      <c r="D96" s="56">
        <v>5</v>
      </c>
      <c r="E96" s="148"/>
      <c r="F96" s="6"/>
    </row>
    <row r="97" spans="2:6" ht="19" customHeight="1">
      <c r="B97" s="16"/>
      <c r="C97" s="49" t="s">
        <v>91</v>
      </c>
      <c r="D97" s="56">
        <v>10</v>
      </c>
      <c r="E97" s="148"/>
      <c r="F97" s="6"/>
    </row>
    <row r="98" spans="2:6" ht="19" customHeight="1">
      <c r="B98" s="16"/>
      <c r="C98" s="49" t="s">
        <v>90</v>
      </c>
      <c r="D98" s="56">
        <f>D97*D96*D95</f>
        <v>400</v>
      </c>
      <c r="E98" s="148"/>
      <c r="F98" s="6"/>
    </row>
    <row r="99" spans="2:6" ht="19" customHeight="1">
      <c r="B99" s="16"/>
      <c r="C99" s="49" t="s">
        <v>94</v>
      </c>
      <c r="D99" s="67">
        <v>30</v>
      </c>
      <c r="E99" s="148"/>
      <c r="F99" s="6"/>
    </row>
    <row r="100" spans="2:6" ht="19" customHeight="1">
      <c r="B100" s="16"/>
      <c r="C100" s="49" t="s">
        <v>89</v>
      </c>
      <c r="D100" s="67">
        <f>D99*D98</f>
        <v>12000</v>
      </c>
      <c r="E100" s="148"/>
      <c r="F100" s="6"/>
    </row>
    <row r="101" spans="2:6" ht="19" customHeight="1" thickBot="1">
      <c r="B101" s="16"/>
      <c r="C101" s="49" t="s">
        <v>97</v>
      </c>
      <c r="D101" s="68">
        <f>D100/D78</f>
        <v>2138.3773035027989</v>
      </c>
      <c r="E101" s="149"/>
      <c r="F101" s="6"/>
    </row>
    <row r="102" spans="2:6" ht="19" customHeight="1" thickBot="1">
      <c r="B102" s="16"/>
      <c r="C102" s="65" t="s">
        <v>98</v>
      </c>
      <c r="D102" s="66">
        <f>D100/2</f>
        <v>6000</v>
      </c>
      <c r="E102" s="69"/>
      <c r="F102" s="6"/>
    </row>
    <row r="103" spans="2:6" ht="17" thickBot="1">
      <c r="B103" s="18"/>
      <c r="C103" s="19"/>
      <c r="D103" s="20"/>
      <c r="E103" s="20"/>
      <c r="F103" s="7"/>
    </row>
    <row r="104" spans="2:6">
      <c r="B104" s="17"/>
      <c r="C104" s="17"/>
      <c r="D104" s="15"/>
      <c r="E104" s="15"/>
      <c r="F104" s="15"/>
    </row>
    <row r="105" spans="2:6" ht="17" thickBot="1">
      <c r="B105" s="17"/>
      <c r="C105" s="17"/>
      <c r="D105" s="15"/>
      <c r="E105" s="15"/>
      <c r="F105" s="15"/>
    </row>
    <row r="106" spans="2:6" ht="27">
      <c r="B106" s="78" t="s">
        <v>47</v>
      </c>
      <c r="C106" s="79"/>
      <c r="D106" s="79"/>
      <c r="E106" s="80"/>
    </row>
    <row r="107" spans="2:6" ht="17" thickBot="1">
      <c r="B107" s="14"/>
      <c r="D107" s="15"/>
      <c r="E107" s="6"/>
    </row>
    <row r="108" spans="2:6">
      <c r="B108" s="14"/>
      <c r="C108" s="124" t="s">
        <v>105</v>
      </c>
      <c r="D108" s="15"/>
      <c r="E108" s="147" t="s">
        <v>126</v>
      </c>
    </row>
    <row r="109" spans="2:6">
      <c r="B109" s="14"/>
      <c r="C109" s="3" t="s">
        <v>48</v>
      </c>
      <c r="D109" s="15"/>
      <c r="E109" s="148"/>
    </row>
    <row r="110" spans="2:6">
      <c r="B110" s="14"/>
      <c r="C110" s="15"/>
      <c r="D110" s="15"/>
      <c r="E110" s="148"/>
    </row>
    <row r="111" spans="2:6">
      <c r="B111" s="14"/>
      <c r="C111" s="15" t="s">
        <v>125</v>
      </c>
      <c r="D111" s="15"/>
      <c r="E111" s="148"/>
    </row>
    <row r="112" spans="2:6">
      <c r="B112" s="14"/>
      <c r="C112" s="122" t="s">
        <v>114</v>
      </c>
      <c r="D112" s="15"/>
      <c r="E112" s="148"/>
    </row>
    <row r="113" spans="2:6" ht="17" thickBot="1">
      <c r="B113" s="14"/>
      <c r="C113" s="15"/>
      <c r="D113" s="15"/>
      <c r="E113" s="149"/>
    </row>
    <row r="114" spans="2:6" ht="17" thickBot="1">
      <c r="B114" s="14"/>
      <c r="C114" s="13" t="s">
        <v>115</v>
      </c>
      <c r="D114" s="109">
        <f xml:space="preserve"> 69/72</f>
        <v>0.95833333333333337</v>
      </c>
      <c r="E114" s="6"/>
    </row>
    <row r="115" spans="2:6" ht="17" thickBot="1">
      <c r="B115" s="117"/>
      <c r="C115" s="20"/>
      <c r="D115" s="20"/>
      <c r="E115" s="7"/>
    </row>
    <row r="116" spans="2:6" ht="17" thickBot="1"/>
    <row r="117" spans="2:6" ht="28" thickBot="1">
      <c r="B117" s="128" t="s">
        <v>49</v>
      </c>
      <c r="C117" s="129"/>
      <c r="D117" s="129"/>
      <c r="E117" s="130"/>
    </row>
    <row r="118" spans="2:6" ht="28" thickBot="1">
      <c r="B118" s="125"/>
      <c r="C118" s="126"/>
      <c r="D118" s="126"/>
      <c r="E118" s="127"/>
    </row>
    <row r="119" spans="2:6" ht="20" customHeight="1">
      <c r="B119" s="125"/>
      <c r="C119" s="131" t="s">
        <v>105</v>
      </c>
      <c r="D119" s="126"/>
      <c r="E119" s="59" t="s">
        <v>117</v>
      </c>
    </row>
    <row r="120" spans="2:6" ht="17" customHeight="1">
      <c r="B120" s="14"/>
      <c r="C120" s="2" t="s">
        <v>50</v>
      </c>
      <c r="D120" s="15"/>
      <c r="E120" s="60"/>
    </row>
    <row r="121" spans="2:6">
      <c r="B121" s="14"/>
      <c r="C121" s="15" t="s">
        <v>111</v>
      </c>
      <c r="D121" s="15"/>
      <c r="E121" s="60"/>
    </row>
    <row r="122" spans="2:6" ht="17" customHeight="1" thickBot="1">
      <c r="B122" s="14"/>
      <c r="C122" s="15" t="s">
        <v>112</v>
      </c>
      <c r="D122" s="15"/>
      <c r="E122" s="61"/>
    </row>
    <row r="123" spans="2:6" ht="17" customHeight="1" thickBot="1">
      <c r="B123" s="14"/>
      <c r="C123" s="15"/>
      <c r="D123" s="15"/>
      <c r="E123" s="6"/>
    </row>
    <row r="124" spans="2:6" ht="17" thickBot="1">
      <c r="B124" s="14"/>
      <c r="C124" s="156" t="s">
        <v>113</v>
      </c>
      <c r="D124" s="170">
        <f>(45/50)</f>
        <v>0.9</v>
      </c>
      <c r="E124" s="6"/>
    </row>
    <row r="125" spans="2:6" ht="17" thickBot="1">
      <c r="B125" s="117"/>
      <c r="C125" s="20"/>
      <c r="D125" s="20"/>
      <c r="E125" s="7"/>
    </row>
    <row r="126" spans="2:6" ht="17" thickBot="1"/>
    <row r="127" spans="2:6" ht="27">
      <c r="B127" s="118" t="s">
        <v>51</v>
      </c>
      <c r="C127" s="119"/>
      <c r="D127" s="119"/>
      <c r="E127" s="119"/>
      <c r="F127" s="120"/>
    </row>
    <row r="128" spans="2:6">
      <c r="B128" s="14"/>
      <c r="C128" s="15"/>
      <c r="D128" s="15"/>
      <c r="E128" s="15"/>
      <c r="F128" s="6"/>
    </row>
    <row r="129" spans="1:6" ht="17" thickBot="1">
      <c r="B129" s="14"/>
      <c r="C129" s="114" t="s">
        <v>85</v>
      </c>
      <c r="D129" s="15"/>
      <c r="E129" s="15"/>
      <c r="F129" s="6"/>
    </row>
    <row r="130" spans="1:6">
      <c r="B130" s="14"/>
      <c r="C130" s="41" t="s">
        <v>52</v>
      </c>
      <c r="D130" s="15"/>
      <c r="E130" s="59" t="s">
        <v>116</v>
      </c>
      <c r="F130" s="6"/>
    </row>
    <row r="131" spans="1:6">
      <c r="B131" s="14"/>
      <c r="C131" s="42" t="s">
        <v>106</v>
      </c>
      <c r="D131" s="34"/>
      <c r="E131" s="60"/>
      <c r="F131" s="6"/>
    </row>
    <row r="132" spans="1:6">
      <c r="B132" s="14"/>
      <c r="C132" s="38" t="s">
        <v>103</v>
      </c>
      <c r="D132" s="34"/>
      <c r="E132" s="60"/>
      <c r="F132" s="6"/>
    </row>
    <row r="133" spans="1:6">
      <c r="B133" s="14"/>
      <c r="C133" s="40"/>
      <c r="D133" s="34"/>
      <c r="E133" s="60"/>
      <c r="F133" s="6"/>
    </row>
    <row r="134" spans="1:6">
      <c r="B134" s="14"/>
      <c r="C134" s="34" t="s">
        <v>107</v>
      </c>
      <c r="D134" s="34"/>
      <c r="E134" s="60"/>
      <c r="F134" s="6"/>
    </row>
    <row r="135" spans="1:6">
      <c r="B135" s="14"/>
      <c r="C135" s="34" t="s">
        <v>108</v>
      </c>
      <c r="D135" s="34"/>
      <c r="E135" s="60"/>
      <c r="F135" s="6"/>
    </row>
    <row r="136" spans="1:6" ht="17" thickBot="1">
      <c r="B136" s="14"/>
      <c r="C136" s="113"/>
      <c r="D136" s="15"/>
      <c r="E136" s="61"/>
      <c r="F136" s="6"/>
    </row>
    <row r="137" spans="1:6" ht="17" thickBot="1">
      <c r="B137" s="14"/>
      <c r="C137" s="101" t="s">
        <v>109</v>
      </c>
      <c r="D137" s="22"/>
      <c r="E137" s="15"/>
      <c r="F137" s="6"/>
    </row>
    <row r="138" spans="1:6">
      <c r="B138" s="14"/>
      <c r="C138" s="15"/>
      <c r="D138" s="15"/>
      <c r="E138" s="15"/>
      <c r="F138" s="6"/>
    </row>
    <row r="139" spans="1:6">
      <c r="B139" s="14"/>
      <c r="C139" s="15"/>
      <c r="D139" s="15"/>
      <c r="E139" s="15"/>
      <c r="F139" s="6"/>
    </row>
    <row r="140" spans="1:6" ht="20" thickBot="1">
      <c r="A140" s="15"/>
      <c r="B140" s="14"/>
      <c r="C140" s="115" t="s">
        <v>53</v>
      </c>
      <c r="D140" s="112"/>
      <c r="E140" s="116"/>
      <c r="F140" s="6"/>
    </row>
    <row r="141" spans="1:6" ht="17" thickBot="1">
      <c r="A141" s="15"/>
      <c r="B141" s="14"/>
      <c r="C141" s="94" t="s">
        <v>54</v>
      </c>
      <c r="D141" s="95" t="s">
        <v>55</v>
      </c>
      <c r="E141" s="96" t="s">
        <v>56</v>
      </c>
      <c r="F141" s="6"/>
    </row>
    <row r="142" spans="1:6">
      <c r="A142" s="15"/>
      <c r="B142" s="14"/>
      <c r="C142" s="48" t="s">
        <v>57</v>
      </c>
      <c r="D142" s="33" t="s">
        <v>58</v>
      </c>
      <c r="E142" s="90">
        <v>3</v>
      </c>
      <c r="F142" s="6"/>
    </row>
    <row r="143" spans="1:6">
      <c r="A143" s="15"/>
      <c r="B143" s="14"/>
      <c r="C143" s="49" t="s">
        <v>59</v>
      </c>
      <c r="D143" s="26" t="s">
        <v>58</v>
      </c>
      <c r="E143" s="91">
        <v>3</v>
      </c>
      <c r="F143" s="6"/>
    </row>
    <row r="144" spans="1:6">
      <c r="A144" s="15"/>
      <c r="B144" s="14"/>
      <c r="C144" s="49" t="s">
        <v>60</v>
      </c>
      <c r="D144" s="26" t="s">
        <v>5</v>
      </c>
      <c r="E144" s="91">
        <v>2</v>
      </c>
      <c r="F144" s="6"/>
    </row>
    <row r="145" spans="1:6">
      <c r="A145" s="15"/>
      <c r="B145" s="14"/>
      <c r="C145" s="49" t="s">
        <v>61</v>
      </c>
      <c r="D145" s="26" t="s">
        <v>5</v>
      </c>
      <c r="E145" s="91">
        <v>2</v>
      </c>
      <c r="F145" s="6"/>
    </row>
    <row r="146" spans="1:6">
      <c r="A146" s="15"/>
      <c r="B146" s="14"/>
      <c r="C146" s="49" t="s">
        <v>62</v>
      </c>
      <c r="D146" s="26" t="s">
        <v>58</v>
      </c>
      <c r="E146" s="91">
        <v>3</v>
      </c>
      <c r="F146" s="6"/>
    </row>
    <row r="147" spans="1:6">
      <c r="A147" s="15"/>
      <c r="B147" s="14"/>
      <c r="C147" s="49" t="s">
        <v>63</v>
      </c>
      <c r="D147" s="26" t="s">
        <v>58</v>
      </c>
      <c r="E147" s="91">
        <v>3</v>
      </c>
      <c r="F147" s="6"/>
    </row>
    <row r="148" spans="1:6">
      <c r="A148" s="15"/>
      <c r="B148" s="14"/>
      <c r="C148" s="49" t="s">
        <v>64</v>
      </c>
      <c r="D148" s="26" t="s">
        <v>58</v>
      </c>
      <c r="E148" s="91">
        <v>3</v>
      </c>
      <c r="F148" s="6"/>
    </row>
    <row r="149" spans="1:6" ht="17" thickBot="1">
      <c r="A149" s="15"/>
      <c r="B149" s="14"/>
      <c r="C149" s="65" t="s">
        <v>65</v>
      </c>
      <c r="D149" s="92" t="s">
        <v>58</v>
      </c>
      <c r="E149" s="93">
        <v>3</v>
      </c>
      <c r="F149" s="6"/>
    </row>
    <row r="150" spans="1:6" ht="17" thickBot="1">
      <c r="A150" s="15"/>
      <c r="B150" s="14"/>
      <c r="C150" s="10"/>
      <c r="D150" s="121" t="s">
        <v>102</v>
      </c>
      <c r="E150" s="23">
        <f>(0*5)+(2*2)+(6*3)</f>
        <v>22</v>
      </c>
      <c r="F150" s="6"/>
    </row>
    <row r="151" spans="1:6" ht="17" thickBot="1">
      <c r="B151" s="14"/>
      <c r="C151" s="15"/>
      <c r="D151" s="15"/>
      <c r="E151" s="15"/>
      <c r="F151" s="6"/>
    </row>
    <row r="152" spans="1:6" ht="17" thickBot="1">
      <c r="B152" s="14"/>
      <c r="C152" s="154" t="s">
        <v>110</v>
      </c>
      <c r="D152" s="155">
        <f>(94+E150) * 1.04 * 0.96</f>
        <v>115.81439999999999</v>
      </c>
      <c r="E152" s="15"/>
      <c r="F152" s="6"/>
    </row>
    <row r="153" spans="1:6" ht="17" thickBot="1">
      <c r="B153" s="117"/>
      <c r="C153" s="20"/>
      <c r="D153" s="20"/>
      <c r="E153" s="20"/>
      <c r="F153" s="7"/>
    </row>
  </sheetData>
  <mergeCells count="22">
    <mergeCell ref="C140:E140"/>
    <mergeCell ref="B127:F127"/>
    <mergeCell ref="B106:E106"/>
    <mergeCell ref="B117:E117"/>
    <mergeCell ref="E108:E113"/>
    <mergeCell ref="E119:E122"/>
    <mergeCell ref="E130:E136"/>
    <mergeCell ref="E68:E79"/>
    <mergeCell ref="C94:E94"/>
    <mergeCell ref="E95:E101"/>
    <mergeCell ref="B2:K2"/>
    <mergeCell ref="B43:F43"/>
    <mergeCell ref="C52:E52"/>
    <mergeCell ref="C65:E65"/>
    <mergeCell ref="C4:D4"/>
    <mergeCell ref="C11:H11"/>
    <mergeCell ref="C13:D13"/>
    <mergeCell ref="C53:D54"/>
    <mergeCell ref="C66:D67"/>
    <mergeCell ref="C89:E91"/>
    <mergeCell ref="C88:E88"/>
    <mergeCell ref="E55:E6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Afnan Mohamed</dc:creator>
  <cp:keywords/>
  <dc:description/>
  <cp:lastModifiedBy>Afnan Mohamed</cp:lastModifiedBy>
  <cp:revision/>
  <dcterms:created xsi:type="dcterms:W3CDTF">2026-02-19T10:24:06Z</dcterms:created>
  <dcterms:modified xsi:type="dcterms:W3CDTF">2026-04-07T00:04:23Z</dcterms:modified>
  <cp:category/>
  <cp:contentStatus/>
</cp:coreProperties>
</file>